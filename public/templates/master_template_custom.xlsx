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EA3F22BD-8636-4921-96BF-9339E09E3F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harga satuan terpakai" sheetId="12" r:id="rId5"/>
    <sheet name="rab" sheetId="11" r:id="rId6"/>
    <sheet name="rekap rab" sheetId="13" r:id="rId7"/>
    <sheet name="schedule" sheetId="14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5">'[5]HARGA SATUAN'!$D$5:$I$2650</definedName>
    <definedName name="harga_bahan" localSheetId="6">'[5]HARGA SATUAN'!$D$5:$I$2650</definedName>
    <definedName name="harga_bahan">#REF!</definedName>
    <definedName name="hsp" localSheetId="5">[5]HSP!$B$9:$I$847</definedName>
    <definedName name="hsp" localSheetId="6">[5]HSP!$B$9:$I$847</definedName>
    <definedName name="hsp">#REF!</definedName>
    <definedName name="_xlnm.Print_Area" localSheetId="2">ahsp!$A1:$O16326</definedName>
    <definedName name="_xlnm.Print_Area" localSheetId="0">cover!$A$1:$I$44</definedName>
    <definedName name="_xlnm.Print_Area" localSheetId="1">'harga satuan'!$A1:$J2646</definedName>
    <definedName name="_xlnm.Print_Area" localSheetId="4">'harga satuan terpakai'!$A1:$M2646</definedName>
    <definedName name="_xlnm.Print_Area" localSheetId="3">hsp!$A1:$I2674</definedName>
    <definedName name="_xlnm.Print_Area" localSheetId="5">rab!$A$1:$L$80</definedName>
    <definedName name="_xlnm.Print_Area" localSheetId="6">'rekap rab'!$A$1:$I$80</definedName>
    <definedName name="_xlnm.Print_Titles" localSheetId="2">ahsp!$1:$5</definedName>
    <definedName name="_xlnm.Print_Titles" localSheetId="3">hsp!$1:$5</definedName>
    <definedName name="_xlnm.Print_Titles" localSheetId="5">rab!$1:$11</definedName>
    <definedName name="_xlnm.Print_Titles" localSheetId="6">'rekap rab'!$1:$11</definedName>
    <definedName name="_xlnm.Print_Titles" localSheetId="7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<sst xmlns="http://schemas.openxmlformats.org/spreadsheetml/2006/main" count="195" uniqueCount="88">
  <si>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</si>
  <si>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</si>
  <si>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</si>
  <si>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</si>
  <si>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</si>
  <si>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</si>
  <si>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</si>
  <si>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</si>
  <si>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</si>
  <si>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</si>
  <si>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</si>
  <si>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</si>
  <si>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</si>
  <si>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</si>
  <si>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</si>
  <si>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</si>
  <si>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</si>
  <si>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</si>
  <si>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</si>
  <si>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</si>
  <si>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</si>
  <si>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</si>
  <si>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</si>
  <si>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</si>
  <si>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</si>
  <si>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</si>
  <si>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</si>
  <si>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</si>
  <si>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</si>
  <si>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</si>
  <si>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</si>
  <si>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</si>
  <si>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</si>
  <si>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</si>
  <si>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</si>
  <si>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</si>
  <si>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</si>
  <si>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</si>
  <si>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</si>
  <si>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</si>
  <si>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</si>
  <si>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</si>
  <si>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</si>
  <si>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</si>
  <si>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</si>
  <si>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</si>
  <si>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</si>
  <si>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</si>
  <si>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</si>
  <si>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</si>
  <si>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</si>
  <si>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</si>
  <si>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</si>
  <si>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</si>
  <si>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</si>
  <si>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</si>
  <si>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</si>
  <si>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</si>
  <si>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</si>
  <si>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</si>
  <si>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</si>
  <si>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</si>
  <si>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</si>
  <si>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</si>
  <si>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</si>
  <si>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</si>
  <si>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</si>
  <si>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</si>
  <si>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</si>
  <si>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</si>
  <si>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</si>
  <si>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</si>
  <si>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</si>
  <si>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</si>
  <si>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</si>
  <si>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</si>
  <si>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</si>
  <si>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</si>
  <si>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</si>
  <si>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</si>
  <si>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</si>
  <si>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</si>
  <si>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</si>
  <si>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</si>
  <si>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</si>
  <si>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 (%)</t>
  </si>
  <si>
    <t>RENCANA AKTUAL (%)</t>
  </si>
  <si>
    <t>HARGA SATUAN BAHAN, ALAT DAN UPAH TERPAKAI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</si>
</sst>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23"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25400</xdr:colOff>
      <xdr:row>44</xdr:row>
      <xdr:rowOff>7620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98596D-37B2-F7E7-2C12-EE5BDBFEE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511800" cy="8054340"/>
        </a:xfrm>
        <a:prstGeom prst="rect">
          <a:avLst/>
        </a:prstGeom>
      </xdr:spPr>
    </xdr:pic>
    <xdr:clientData/>
  </xdr:twoCellAnchor>
  <xdr:oneCellAnchor>
    <xdr:from>
      <xdr:col>2</xdr:col>
      <xdr:colOff>495300</xdr:colOff>
      <xdr:row>26</xdr:row>
      <xdr:rowOff>47913</xdr:rowOff>
    </xdr:from>
    <xdr:ext cx="3611880" cy="48731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0D9D429-0026-F84C-4FB3-FDE9E67E7E01}"/>
            </a:ext>
          </a:extLst>
        </xdr:cNvPr>
        <xdr:cNvSpPr txBox="1"/>
      </xdr:nvSpPr>
      <xdr:spPr>
        <a:xfrm>
          <a:off x="1714500" y="4802793"/>
          <a:ext cx="3611880" cy="4873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2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1</xdr:col>
      <xdr:colOff>563880</xdr:colOff>
      <xdr:row>14</xdr:row>
      <xdr:rowOff>175260</xdr:rowOff>
    </xdr:from>
    <xdr:ext cx="4244340" cy="26936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2AFE071-5F99-49A4-8FDB-1EB893E01495}"/>
            </a:ext>
          </a:extLst>
        </xdr:cNvPr>
        <xdr:cNvSpPr txBox="1"/>
      </xdr:nvSpPr>
      <xdr:spPr>
        <a:xfrm>
          <a:off x="1173480" y="273558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2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2</xdr:col>
      <xdr:colOff>243840</xdr:colOff>
      <xdr:row>16</xdr:row>
      <xdr:rowOff>114300</xdr:rowOff>
    </xdr:from>
    <xdr:ext cx="3886200" cy="30777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98A06E9-E717-48DF-BF68-B77C2505DACF}"/>
            </a:ext>
          </a:extLst>
        </xdr:cNvPr>
        <xdr:cNvSpPr txBox="1"/>
      </xdr:nvSpPr>
      <xdr:spPr>
        <a:xfrm>
          <a:off x="1463040" y="3040380"/>
          <a:ext cx="3886200" cy="3077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2</xdr:col>
      <xdr:colOff>541020</xdr:colOff>
      <xdr:row>18</xdr:row>
      <xdr:rowOff>76200</xdr:rowOff>
    </xdr:from>
    <xdr:ext cx="3596640" cy="73914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4D76212-7FBD-44A1-80A5-569D8E6272BC}"/>
            </a:ext>
          </a:extLst>
        </xdr:cNvPr>
        <xdr:cNvSpPr txBox="1"/>
      </xdr:nvSpPr>
      <xdr:spPr>
        <a:xfrm>
          <a:off x="1760220" y="3368040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0</xdr:colOff>
      <xdr:row>3</xdr:row>
      <xdr:rowOff>121920</xdr:rowOff>
    </xdr:from>
    <xdr:ext cx="4244340" cy="2693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A332286-966C-4468-8C0B-CF0FE16445F1}"/>
            </a:ext>
          </a:extLst>
        </xdr:cNvPr>
        <xdr:cNvSpPr txBox="1"/>
      </xdr:nvSpPr>
      <xdr:spPr>
        <a:xfrm>
          <a:off x="0" y="67056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3</xdr:col>
      <xdr:colOff>304800</xdr:colOff>
      <xdr:row>29</xdr:row>
      <xdr:rowOff>15240</xdr:rowOff>
    </xdr:from>
    <xdr:to>
      <xdr:col>8</xdr:col>
      <xdr:colOff>579120</xdr:colOff>
      <xdr:row>29</xdr:row>
      <xdr:rowOff>68580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89724DF-F7D8-C015-AB29-37A7DA90B337}"/>
            </a:ext>
          </a:extLst>
        </xdr:cNvPr>
        <xdr:cNvSpPr/>
      </xdr:nvSpPr>
      <xdr:spPr>
        <a:xfrm>
          <a:off x="2133600" y="5318760"/>
          <a:ext cx="3322320" cy="5334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dimension ref="A1"/>
  <sheetViews>
    <sheetView tabSelected="1" view="pageBreakPreview" zoomScale="55" zoomScaleNormal="40" zoomScaleSheetLayoutView="55" workbookViewId="0">
      <selection activeCell="P37" sqref="P37"/>
    </sheetView>
  </sheetViews>
  <sheetFormatPr defaultRowHeight="14.4" x14ac:dyDescent="0.3"/>
  <sheetData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81"/>
      <c r="C1" s="81"/>
      <c r="D1" s="81"/>
      <c r="E1" s="81"/>
      <c r="F1" s="81"/>
      <c r="G1" s="81"/>
      <c r="H1" s="81"/>
      <c r="I1" s="81"/>
    </row>
    <row r="2" spans="1:9" ht="28.8" customHeight="1" x14ac:dyDescent="0.3">
      <c r="B2" s="78" t="s">
        <v>0</v>
      </c>
      <c r="C2" s="78"/>
      <c r="D2" s="78"/>
      <c r="E2" s="78"/>
      <c r="F2" s="78"/>
      <c r="G2" s="78"/>
      <c r="H2" s="78"/>
      <c r="I2" s="78"/>
    </row>
    <row r="3" spans="1:9" ht="19.8" customHeight="1" x14ac:dyDescent="0.3">
      <c r="B3" s="79" t="s">
        <v>1</v>
      </c>
      <c r="C3" s="79"/>
      <c r="D3" s="79"/>
      <c r="E3" s="79"/>
      <c r="F3" s="79"/>
      <c r="G3" s="79"/>
      <c r="H3" s="79"/>
      <c r="I3" s="79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80" t="s">
        <v>7</v>
      </c>
      <c r="D5" s="80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2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2:14" ht="25.2" customHeight="1" x14ac:dyDescent="0.3">
      <c r="B2" s="78" t="s">
        <v>5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pans="2:14" ht="17.399999999999999" customHeight="1" x14ac:dyDescent="0.3">
      <c r="B3" s="79" t="s">
        <v>17</v>
      </c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82" t="s">
        <v>7</v>
      </c>
      <c r="D5" s="82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1" priority="1">
      <formula>AND(LEN($B6)&lt;&gt;0,$C6&lt;&gt;0)</formula>
    </cfRule>
    <cfRule type="expression" dxfId="20" priority="4">
      <formula>AND(LEN($B6)=1,$D6&lt;&gt;0)</formula>
    </cfRule>
    <cfRule type="expression" dxfId="19" priority="5">
      <formula>AND(LEN($B6)&lt;&gt;0,$D6&lt;&gt;0)</formula>
    </cfRule>
  </conditionalFormatting>
  <conditionalFormatting sqref="H6:H16997">
    <cfRule type="expression" dxfId="18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7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81"/>
      <c r="C1" s="81"/>
      <c r="D1" s="81"/>
      <c r="E1" s="81"/>
      <c r="F1" s="81"/>
      <c r="G1" s="81"/>
      <c r="H1" s="81"/>
    </row>
    <row r="2" spans="2:10" ht="22.8" customHeight="1" x14ac:dyDescent="0.3">
      <c r="B2" s="78" t="s">
        <v>4</v>
      </c>
      <c r="C2" s="78"/>
      <c r="D2" s="78"/>
      <c r="E2" s="78"/>
      <c r="F2" s="78"/>
      <c r="G2" s="78"/>
      <c r="H2" s="78"/>
    </row>
    <row r="3" spans="2:10" ht="17.399999999999999" customHeight="1" x14ac:dyDescent="0.3">
      <c r="B3" s="79" t="s">
        <v>17</v>
      </c>
      <c r="C3" s="79"/>
      <c r="D3" s="79"/>
      <c r="E3" s="79"/>
      <c r="F3" s="79"/>
      <c r="G3" s="79"/>
      <c r="H3" s="79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6" priority="6">
      <formula>$J6=",..,"</formula>
    </cfRule>
  </conditionalFormatting>
  <conditionalFormatting sqref="B6:H995">
    <cfRule type="expression" dxfId="15" priority="1">
      <formula>AND(LEN($B6)=1,$C6&lt;&gt;0)</formula>
    </cfRule>
    <cfRule type="expression" dxfId="14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3" sqref="B3:L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28.8" customHeight="1" x14ac:dyDescent="0.3">
      <c r="B2" s="78" t="s">
        <v>87</v>
      </c>
      <c r="C2" s="78"/>
      <c r="D2" s="78"/>
      <c r="E2" s="78"/>
      <c r="F2" s="78"/>
      <c r="G2" s="78"/>
      <c r="H2" s="78"/>
      <c r="I2" s="78"/>
      <c r="J2" s="78"/>
      <c r="K2" s="78"/>
      <c r="L2" s="78"/>
    </row>
    <row r="3" spans="1:12" ht="19.8" customHeight="1" x14ac:dyDescent="0.3">
      <c r="B3" s="79" t="s">
        <v>1</v>
      </c>
      <c r="C3" s="79"/>
      <c r="D3" s="79"/>
      <c r="E3" s="79"/>
      <c r="F3" s="79"/>
      <c r="G3" s="79"/>
      <c r="H3" s="79"/>
      <c r="I3" s="79"/>
      <c r="J3" s="79"/>
      <c r="K3" s="79"/>
      <c r="L3" s="79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80" t="s">
        <v>7</v>
      </c>
      <c r="D5" s="80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13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</row>
    <row r="2" spans="2:11" ht="22.95" customHeight="1" x14ac:dyDescent="0.5">
      <c r="B2" s="83" t="s">
        <v>18</v>
      </c>
      <c r="C2" s="84"/>
      <c r="D2" s="84"/>
      <c r="E2" s="84"/>
      <c r="F2" s="84"/>
      <c r="G2" s="84"/>
      <c r="H2" s="84"/>
      <c r="I2" s="84"/>
      <c r="J2" s="84"/>
      <c r="K2" s="84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82" t="s">
        <v>77</v>
      </c>
      <c r="D11" s="82"/>
      <c r="E11" s="82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2" priority="1">
      <formula>AND($B12&lt;&gt;"",$C12&lt;&gt;"",$G12="")</formula>
    </cfRule>
  </conditionalFormatting>
  <pageMargins left="0.25" right="0.25" top="0.75" bottom="0.75" header="0.3" footer="0.3"/>
  <pageSetup paperSize="9" scale="7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85"/>
      <c r="C1" s="85"/>
      <c r="D1" s="85"/>
      <c r="E1" s="85"/>
      <c r="F1" s="85"/>
      <c r="G1" s="85"/>
      <c r="H1" s="85"/>
    </row>
    <row r="2" spans="2:8" ht="22.95" customHeight="1" x14ac:dyDescent="0.5">
      <c r="B2" s="83" t="s">
        <v>75</v>
      </c>
      <c r="C2" s="84"/>
      <c r="D2" s="84"/>
      <c r="E2" s="84"/>
      <c r="F2" s="84"/>
      <c r="G2" s="84"/>
      <c r="H2" s="84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82" t="s">
        <v>77</v>
      </c>
      <c r="D11" s="82"/>
      <c r="E11" s="82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1" priority="9">
      <formula>AND($B12&lt;&gt;"",$C12&lt;&gt;"",#REF!="")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K13" sqref="K13"/>
    </sheetView>
  </sheetViews>
  <sheetFormatPr defaultRowHeight="14.4" x14ac:dyDescent="0.3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5" customWidth="1"/>
  </cols>
  <sheetData>
    <row r="1" spans="2:12" ht="100.05" customHeight="1" x14ac:dyDescent="0.3">
      <c r="B1" s="85"/>
      <c r="C1" s="85"/>
      <c r="D1" s="85"/>
      <c r="E1" s="85"/>
      <c r="F1" s="85"/>
    </row>
    <row r="2" spans="2:12" ht="18" x14ac:dyDescent="0.35">
      <c r="B2" s="88" t="s">
        <v>76</v>
      </c>
      <c r="C2" s="88"/>
      <c r="D2" s="88"/>
      <c r="E2" s="88"/>
      <c r="F2" s="88"/>
    </row>
    <row r="3" spans="2:12" x14ac:dyDescent="0.3">
      <c r="B3" s="85"/>
      <c r="C3" s="85"/>
      <c r="D3" s="85"/>
      <c r="E3" s="85"/>
      <c r="F3" s="85"/>
    </row>
    <row r="5" spans="2:12" s="58" customFormat="1" x14ac:dyDescent="0.3">
      <c r="B5" s="86" t="s">
        <v>6</v>
      </c>
      <c r="C5" s="86" t="s">
        <v>77</v>
      </c>
      <c r="D5" s="86" t="s">
        <v>29</v>
      </c>
      <c r="E5" s="87" t="s">
        <v>85</v>
      </c>
      <c r="F5" s="87" t="s">
        <v>86</v>
      </c>
    </row>
    <row r="6" spans="2:12" s="58" customFormat="1" x14ac:dyDescent="0.3">
      <c r="B6" s="86"/>
      <c r="C6" s="86"/>
      <c r="D6" s="86"/>
      <c r="E6" s="87"/>
      <c r="F6" s="87"/>
    </row>
    <row r="7" spans="2:12" s="74" customFormat="1" x14ac:dyDescent="0.3">
      <c r="B7" s="86"/>
      <c r="C7" s="86"/>
      <c r="D7" s="86"/>
      <c r="E7" s="87"/>
      <c r="F7" s="87"/>
      <c r="G7" s="77"/>
      <c r="H7" s="77"/>
      <c r="I7" s="77"/>
      <c r="J7" s="77"/>
      <c r="K7" s="77"/>
      <c r="L7" s="77"/>
    </row>
    <row r="8" spans="2:12" x14ac:dyDescent="0.3">
      <c r="E8" s="76"/>
      <c r="F8" s="76"/>
    </row>
    <row r="14" spans="2:12" x14ac:dyDescent="0.3">
      <c r="B14" s="66"/>
      <c r="C14" s="66"/>
      <c r="D14" s="66"/>
      <c r="E14" s="66"/>
    </row>
    <row r="20" spans="2:2" x14ac:dyDescent="0.3">
      <c r="B20" s="56"/>
    </row>
    <row r="21" spans="2:2" x14ac:dyDescent="0.3">
      <c r="B21" s="56"/>
    </row>
    <row r="22" spans="2:2" x14ac:dyDescent="0.3">
      <c r="B22" s="56"/>
    </row>
    <row r="23" spans="2:2" x14ac:dyDescent="0.3">
      <c r="B23" s="56"/>
    </row>
    <row r="24" spans="2:2" x14ac:dyDescent="0.3">
      <c r="B24" s="56"/>
    </row>
    <row r="25" spans="2:2" x14ac:dyDescent="0.3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0" priority="12">
      <formula>B5&lt;&gt;""</formula>
    </cfRule>
  </conditionalFormatting>
  <conditionalFormatting sqref="G8:CE201">
    <cfRule type="expression" dxfId="9" priority="1">
      <formula>AND(G8&lt;&gt;"",$B8="RENCANA PROGRESS MINGGUAN")</formula>
    </cfRule>
    <cfRule type="expression" dxfId="8" priority="2">
      <formula>AND(G$7&lt;&gt;"",$B8="RENCANA PROGRESS MINGGUAN")</formula>
    </cfRule>
    <cfRule type="expression" dxfId="7" priority="3">
      <formula>AND(G8&lt;&gt;"",$B8="KUMULATIF PROGRESS MINGGUAN")</formula>
    </cfRule>
    <cfRule type="expression" dxfId="6" priority="4">
      <formula>AND(G$7&lt;&gt;"",$B8="KUMULATIF PROGRESS MINGGUAN")</formula>
    </cfRule>
    <cfRule type="expression" dxfId="5" priority="5">
      <formula>AND(G8&lt;&gt;"",$B8="AKTUAL PROGRESS MINGGUAN")</formula>
    </cfRule>
    <cfRule type="expression" dxfId="4" priority="6">
      <formula>AND(G$7&lt;&gt;"",$B8="AKTUAL PROGRESS MINGGUAN")</formula>
    </cfRule>
    <cfRule type="expression" dxfId="3" priority="7">
      <formula>AND(G8&lt;&gt;"",$B8="KUMULATIF PROGRESS AKTUAL")</formula>
    </cfRule>
    <cfRule type="expression" dxfId="2" priority="8">
      <formula>AND(G$7&lt;&gt;"",$B8="KUMULATIF PROGRESS AKTUAL")</formula>
    </cfRule>
    <cfRule type="expression" dxfId="1" priority="9">
      <formula>AND(G8&lt;&gt;"",$B8="DEVIASI")</formula>
    </cfRule>
    <cfRule type="expression" dxfId="0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12</vt:i4>
      </vt:variant>
    </vt:vector>
  </HeadingPairs>
  <TitlesOfParts>
    <vt:vector size="20" baseType="lpstr">
      <vt:lpstr>cover</vt:lpstr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cover!Print_Area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2026-04-26T11:41:34Z</dcterms:modified>
</cp:coreProperties>
</file>